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Text Recipe Index V2" sheetId="1" r:id="rId5"/>
  </sheets>
  <definedNames/>
  <calcPr/>
</workbook>
</file>

<file path=xl/sharedStrings.xml><?xml version="1.0" encoding="utf-8"?>
<sst xmlns="http://schemas.openxmlformats.org/spreadsheetml/2006/main" count="261" uniqueCount="162">
  <si>
    <t>Recipe / Document Title</t>
  </si>
  <si>
    <t>Full Recipe/Partial Recipe(Benchmarking,checkpoint conversion, Installing Dependencies)</t>
  </si>
  <si>
    <t>File Directory</t>
  </si>
  <si>
    <t>Direct Link</t>
  </si>
  <si>
    <t>Brief Description</t>
  </si>
  <si>
    <t>Optimization 1: Multihost recommended network settings</t>
  </si>
  <si>
    <t>Partial Recipe</t>
  </si>
  <si>
    <t>.</t>
  </si>
  <si>
    <t>Provides recommended network and environment preflight settings for multihost MaxText workloads.</t>
  </si>
  <si>
    <t>McJax with XPK</t>
  </si>
  <si>
    <t>benchmarks</t>
  </si>
  <si>
    <t>Guides benchmarking MaxText workloads using XPK and McJax on TPU clusters.</t>
  </si>
  <si>
    <t>MaxText API Server</t>
  </si>
  <si>
    <t>benchmarks/api_server</t>
  </si>
  <si>
    <t>Explains how to set up and run the MaxText API Server for benchmark automation.</t>
  </si>
  <si>
    <t>Getting Started with MaxTest Benchmarking</t>
  </si>
  <si>
    <t>benchmarks/maxtest</t>
  </si>
  <si>
    <t>Provides a getting started guide for setting up and running MaxTest benchmarking suites.</t>
  </si>
  <si>
    <t>Checkpoint Conversion Utilities</t>
  </si>
  <si>
    <t>docs/guides/checkpointing_solutions</t>
  </si>
  <si>
    <t>Instructions for converting model checkpoints between Hugging Face and MaxText formats.</t>
  </si>
  <si>
    <t>Emergency checkpointing</t>
  </si>
  <si>
    <t>Explains how to configure emergency local checkpointing to minimize lost progress upon preemption.</t>
  </si>
  <si>
    <t>Multi-tier checkpointing</t>
  </si>
  <si>
    <t>Details how to configure multi-tier checkpointing across RAM</t>
  </si>
  <si>
    <t>Megatron indexed datasets with Grain</t>
  </si>
  <si>
    <t>docs/guides/data_input_pipeline</t>
  </si>
  <si>
    <t>Instructions for configuring Megatron indexed mmap datasets with Grain in MaxText.</t>
  </si>
  <si>
    <t>OLMo numpy pipeline (dataset_type=olmo_grain)</t>
  </si>
  <si>
    <t>Explains how to use the OLMo numpy-based Grain pipeline for training datasets.</t>
  </si>
  <si>
    <t>Adding a New Model for LoRA Fine-Tuning</t>
  </si>
  <si>
    <t>docs/guides</t>
  </si>
  <si>
    <t>Step-by-step instructions for implementing Low-Rank Adaptation (LoRA) support for new model architectures.</t>
  </si>
  <si>
    <t>Features and diagnostics</t>
  </si>
  <si>
    <t>docs/guides/monitoring_and_debugging</t>
  </si>
  <si>
    <t>Describes diagnostic features and flags available for analyzing MaxText runs.</t>
  </si>
  <si>
    <t>Running a workload with Google Cloud ML Diagnostics Enabled</t>
  </si>
  <si>
    <t>Guide to running MaxText workloads with Google Cloud ML Diagnostics enabled.</t>
  </si>
  <si>
    <t>ML Goodput measurement</t>
  </si>
  <si>
    <t>Explains how to measure and track ML Goodput metrics during distributed training.</t>
  </si>
  <si>
    <t>Understand logs and metrics</t>
  </si>
  <si>
    <t>Explains log outputs and performance metrics generated by MaxText training jobs.</t>
  </si>
  <si>
    <t>Benchmarking &amp; tuning guide</t>
  </si>
  <si>
    <t>docs/guides/optimization</t>
  </si>
  <si>
    <t>Comprehensive tuning guide for achieving peak performance and high MFU on TPUs and GPUs.</t>
  </si>
  <si>
    <t>Run MaxText Python Notebooks on TPUs</t>
  </si>
  <si>
    <t>Full Recipe</t>
  </si>
  <si>
    <t>Tutorial on running interactive MaxText development workflows via Python notebooks on TPUs.</t>
  </si>
  <si>
    <t>Install MaxText</t>
  </si>
  <si>
    <t>docs</t>
  </si>
  <si>
    <t>Provides complete instructions for installing MaxText from PyPI</t>
  </si>
  <si>
    <t>Via Decoupled Mode (No Google Cloud Dependencies)</t>
  </si>
  <si>
    <t>docs/run_maxtext</t>
  </si>
  <si>
    <t>Instructions for running MaxText in decoupled mode without GCP cloud service dependencies.</t>
  </si>
  <si>
    <t>Elastic training with Pathways</t>
  </si>
  <si>
    <t>Guide to setting up elastic training jobs with automatic fault tolerance using Pathways.</t>
  </si>
  <si>
    <t>Via localhost or single-host VM</t>
  </si>
  <si>
    <t>Instructions for launching MaxText training locally or on single-host virtual machines.</t>
  </si>
  <si>
    <t>Via single-host GPU</t>
  </si>
  <si>
    <t>Guide to running MaxText training and fine-tuning on single-host GPU setups.</t>
  </si>
  <si>
    <t>At scale with Cluster Toolkit (gcluster)</t>
  </si>
  <si>
    <t>Instructions for deploying and executing MaxText at scale using Cluster Toolkit (gcluster).</t>
  </si>
  <si>
    <t>Production Jobs on Multiple Slices (multihost_job.py)</t>
  </si>
  <si>
    <t>Guide to submitting production distributed jobs across multi-slice TPU clusters via multihost_job.py.</t>
  </si>
  <si>
    <t>Quicks Experiments on Multiple Hosts or Multiple Slices (multihost_runner.py)</t>
  </si>
  <si>
    <t>Guide for running interactive multi-host experiments using multihost_runner.py.</t>
  </si>
  <si>
    <t>Via Pathways</t>
  </si>
  <si>
    <t>Instructions for running multi-host MaxText workloads orchestrated via Google Pathways.</t>
  </si>
  <si>
    <t>At scale with XPK</t>
  </si>
  <si>
    <t>Guide to deploying and orchestrating large-scale MaxText workloads using XPK on GKE.</t>
  </si>
  <si>
    <t>Build and upload MaxText Docker images</t>
  </si>
  <si>
    <t>docs/tutorials</t>
  </si>
  <si>
    <t>Step-by-step guide for building and pushing custom MaxText Docker container images.</t>
  </si>
  <si>
    <t>Inference on MaxText</t>
  </si>
  <si>
    <t>Guide to performing high-throughput model inference using vLLM integrated with MaxText.</t>
  </si>
  <si>
    <t>Preference Optimization (DPO &amp; ORPO) on Single-Host TPUs</t>
  </si>
  <si>
    <t>docs/tutorials/posttraining</t>
  </si>
  <si>
    <t>Tutorial on Preference Optimization (DPO &amp; ORPO) on single-host TPUs.</t>
  </si>
  <si>
    <t>Full fine-tuning on single-host TPUs</t>
  </si>
  <si>
    <t>Step-by-step guide for performing full parameter fine-tuning on single-host TPU VMs.</t>
  </si>
  <si>
    <t>Knowledge distillation</t>
  </si>
  <si>
    <t>Tutorial on distilling knowledge from teacher models to student models using Tunix.</t>
  </si>
  <si>
    <t>LoRA Fine-tuning on single-host TPUs</t>
  </si>
  <si>
    <t>Tutorial on Low-Rank Adaptation (LoRA) PEFT fine-tuning on single-host TPUs.</t>
  </si>
  <si>
    <t>LoRA Fine-tuning on multi-host TPUs</t>
  </si>
  <si>
    <t>Tutorial on multi-host distributed LoRA fine-tuning across TPU slices.</t>
  </si>
  <si>
    <t>Multimodal support</t>
  </si>
  <si>
    <t>Guide to multimodal post-training fine-tuning for vision-language models in MaxText.</t>
  </si>
  <si>
    <t>Native LoRA on single-host TPUs</t>
  </si>
  <si>
    <t>Tutorial on native low-rank adaptation fine-tuning on single-host TPUs.</t>
  </si>
  <si>
    <t>Reinforcement Learning on single-host TPUs</t>
  </si>
  <si>
    <t>Step-by-step tutorial for Reinforcement Learning (GRPO) training on single-host TPUs.</t>
  </si>
  <si>
    <t>Reinforcement Learning with gemma4-26b on Multi-Host TPUs</t>
  </si>
  <si>
    <t>Tutorial on multi-host Reinforcement Learning training with Gemma 4 26B on TPUs.</t>
  </si>
  <si>
    <t>Reinforcement Learning with gemma4-e4b on Multi-Host TPUs</t>
  </si>
  <si>
    <t>Tutorial on multi-host Reinforcement Learning training with Gemma 4 E4B on TPUs.</t>
  </si>
  <si>
    <t>Reinforcement Learning with GPT-OSS 20B on Multi-Host TPUs</t>
  </si>
  <si>
    <t>Tutorial on multi-host Reinforcement Learning training with GPT-OSS 20B on TPUs.</t>
  </si>
  <si>
    <t>Reinforcement Learning on Multi-Host TPUs</t>
  </si>
  <si>
    <t>Tutorial on distributed multi-host Reinforcement Learning training using Pathways.</t>
  </si>
  <si>
    <t>Reinforcement Learning with Qwen3-30b-a3b-base on Multi-Host TPUs</t>
  </si>
  <si>
    <t>Tutorial on multi-host Reinforcement Learning training with Qwen3-30B on TPUs.</t>
  </si>
  <si>
    <t>SFT on single-host TPUs</t>
  </si>
  <si>
    <t>Tutorial on Supervised Fine-Tuning (SFT) on single-host TPUs.</t>
  </si>
  <si>
    <t>SFT on multi-host TPUs</t>
  </si>
  <si>
    <t>Tutorial on distributed Supervised Fine-Tuning (SFT) across multi-host TPU slices.</t>
  </si>
  <si>
    <t>Pre-training</t>
  </si>
  <si>
    <t>Step-by-step guide for pre-training MaxText models using real datasets like C4.</t>
  </si>
  <si>
    <t>High Performance Model Configs</t>
  </si>
  <si>
    <t>src/maxtext/configs</t>
  </si>
  <si>
    <t>Overview of high performance model configuration YAML files for TPUs and GPUs.</t>
  </si>
  <si>
    <t>MaxText vLLM Eval Framework</t>
  </si>
  <si>
    <t>src/maxtext/eval</t>
  </si>
  <si>
    <t>Guide to running evaluation benchmarks using the vLLM-native MaxText eval framework.</t>
  </si>
  <si>
    <t>Checkpoint conversion agent</t>
  </si>
  <si>
    <t>src/maxtext/experimental/agent/ckpt_conversion_agent</t>
  </si>
  <si>
    <t>Explains how to use the automated agent for mapping checkpoint conversions.</t>
  </si>
  <si>
    <t>MaxText Omni: Heterogeneous Multimodal Model Stitching</t>
  </si>
  <si>
    <t>src/maxtext/experimental/omni_pipeline</t>
  </si>
  <si>
    <t>Guide to MaxText Omni for assembling</t>
  </si>
  <si>
    <t>Group Relative Policy Optimization (GRPO) in MaxText</t>
  </si>
  <si>
    <t>src/maxtext/experimental/rl</t>
  </si>
  <si>
    <t>Guide to Group Relative Policy Optimization (GRPO) reinforcement learning algorithm in MaxText.</t>
  </si>
  <si>
    <t>JetStream + Pathways Server Deployment</t>
  </si>
  <si>
    <t>src/maxtext/inference/jetstream_pathways</t>
  </si>
  <si>
    <t>Instructions for building and deploying the MaxText JetStream Pathways inference server.</t>
  </si>
  <si>
    <t>MaxEngine Server Deployment</t>
  </si>
  <si>
    <t>src/maxtext/inference/maxengine/maxengine_server_deployment</t>
  </si>
  <si>
    <t>Instructions for building and deploying the MaxEngine JetStream server container.</t>
  </si>
  <si>
    <t>Run offline performance benchmarks.</t>
  </si>
  <si>
    <t>src/maxtext/inference/mlperf</t>
  </si>
  <si>
    <t>Instructions for running offline MLPerf performance inference benchmarks on TPU v5e.</t>
  </si>
  <si>
    <t>MaxText distillation trainer</t>
  </si>
  <si>
    <t>src/maxtext/trainers/post_train/distillation</t>
  </si>
  <si>
    <t>Guide to training student models via online knowledge distillation with Tunix.</t>
  </si>
  <si>
    <t>OLMo-3 7B stage-1 pretraining launchers</t>
  </si>
  <si>
    <t>src/maxtext/trainers/pre_train/scripts/olmo</t>
  </si>
  <si>
    <t>End-to-end launcher scripts for reproducing OLMo-3 7B stage-1 pre-training.</t>
  </si>
  <si>
    <t>MaxText + Transformer Engine E2E Benchmarking</t>
  </si>
  <si>
    <t>tests/end_to_end/gpu/te</t>
  </si>
  <si>
    <t>Guide to end-to-end benchmarking with Transformer Engine (TE) integration on GPUs.</t>
  </si>
  <si>
    <t>DeepSeek</t>
  </si>
  <si>
    <t>tests/end_to_end/tpu/deepseek</t>
  </si>
  <si>
    <t>User guide for training</t>
  </si>
  <si>
    <t>Gemma3</t>
  </si>
  <si>
    <t>tests/end_to_end/tpu/gemma3</t>
  </si>
  <si>
    <t>User guide for pre-training</t>
  </si>
  <si>
    <t>Gemma4</t>
  </si>
  <si>
    <t>tests/end_to_end/tpu/gemma4</t>
  </si>
  <si>
    <t>GPT-OSS</t>
  </si>
  <si>
    <t>tests/end_to_end/tpu/gpt_oss</t>
  </si>
  <si>
    <t>Kimi</t>
  </si>
  <si>
    <t>tests/end_to_end/tpu/kimi</t>
  </si>
  <si>
    <t>User guide for running</t>
  </si>
  <si>
    <t>Llama4</t>
  </si>
  <si>
    <t>tests/end_to_end/tpu/llama4</t>
  </si>
  <si>
    <t>Qwen2.5 Dense</t>
  </si>
  <si>
    <t>tests/end_to_end/tpu/qwen/dense</t>
  </si>
  <si>
    <t>Example for Qwen3.5-35B-A3B</t>
  </si>
  <si>
    <t>tests/end_to_end/tpu/qwen/moe</t>
  </si>
  <si>
    <t>Example for Qwen3-Next-80B-A3B-Instruct</t>
  </si>
  <si>
    <t>tests/end_to_end/tpu/qwen/next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</si>
</sst>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1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xText Recipe Index V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5" displayName="MaxTextRecipeIndex" name="MaxTextRecipeIndex" id="1">
  <tableColumns count="5">
    <tableColumn name="Recipe / Document Title" id="1"/>
    <tableColumn name="Full Recipe/Partial Recipe(Benchmarking,checkpoint conversion, Installing Dependencies)" id="2"/>
    <tableColumn name="File Directory" id="3"/>
    <tableColumn name="Direct Link" id="4"/>
    <tableColumn name="Brief Description" id="5"/>
  </tableColumns>
  <tableStyleInfo name="MaxText Recipe Index V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13"/>
    <col customWidth="1" min="2" max="2" width="70.5"/>
    <col customWidth="1" min="3" max="3" width="49.88"/>
    <col customWidth="1" min="4" max="4" width="32.0"/>
    <col customWidth="1" min="5" max="5" width="81.13"/>
    <col customWidth="1" min="6" max="6" width="132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3" t="s">
        <v>5</v>
      </c>
      <c r="B2" s="3" t="s">
        <v>6</v>
      </c>
      <c r="C2" s="3" t="s">
        <v>7</v>
      </c>
      <c r="D2" s="4" t="str">
        <f>HYPERLINK("https://github.com/google/maxtext/blob/main/PREFLIGHT.md", "PREFLIGHT.md")</f>
        <v>PREFLIGHT.md</v>
      </c>
      <c r="E2" s="3" t="s">
        <v>8</v>
      </c>
    </row>
    <row r="3" ht="22.5" customHeight="1">
      <c r="A3" s="3" t="s">
        <v>9</v>
      </c>
      <c r="B3" s="3" t="s">
        <v>6</v>
      </c>
      <c r="C3" s="3" t="s">
        <v>10</v>
      </c>
      <c r="D3" s="4" t="str">
        <f>HYPERLINK("https://github.com/google/maxtext/blob/main/benchmarks/Getting_Started_Benchmarking.md", "Getting_Started_Benchmarking.md")</f>
        <v>Getting_Started_Benchmarking.md</v>
      </c>
      <c r="E3" s="3" t="s">
        <v>11</v>
      </c>
    </row>
    <row r="4" ht="22.5" customHeight="1">
      <c r="A4" s="3" t="s">
        <v>12</v>
      </c>
      <c r="B4" s="3" t="s">
        <v>6</v>
      </c>
      <c r="C4" s="3" t="s">
        <v>13</v>
      </c>
      <c r="D4" s="4" t="str">
        <f>HYPERLINK("https://github.com/google/maxtext/blob/main/benchmarks/api_server/README.md", "README.md")</f>
        <v>README.md</v>
      </c>
      <c r="E4" s="3" t="s">
        <v>14</v>
      </c>
    </row>
    <row r="5" ht="22.5" customHeight="1">
      <c r="A5" s="3" t="s">
        <v>15</v>
      </c>
      <c r="B5" s="3" t="s">
        <v>6</v>
      </c>
      <c r="C5" s="3" t="s">
        <v>16</v>
      </c>
      <c r="D5" s="4" t="str">
        <f>HYPERLINK("https://github.com/google/maxtext/blob/main/benchmarks/maxtest/getting_started.md", "getting_started.md")</f>
        <v>getting_started.md</v>
      </c>
      <c r="E5" s="3" t="s">
        <v>17</v>
      </c>
    </row>
    <row r="6" ht="22.5" customHeight="1">
      <c r="A6" s="3" t="s">
        <v>18</v>
      </c>
      <c r="B6" s="3" t="s">
        <v>6</v>
      </c>
      <c r="C6" s="3" t="s">
        <v>19</v>
      </c>
      <c r="D6" s="4" t="str">
        <f>HYPERLINK("https://github.com/google/maxtext/blob/main/docs/guides/checkpointing_solutions/convert_checkpoint.md", "convert_checkpoint.md")</f>
        <v>convert_checkpoint.md</v>
      </c>
      <c r="E6" s="3" t="s">
        <v>20</v>
      </c>
    </row>
    <row r="7" ht="22.5" customHeight="1">
      <c r="A7" s="3" t="s">
        <v>21</v>
      </c>
      <c r="B7" s="3" t="s">
        <v>6</v>
      </c>
      <c r="C7" s="3" t="s">
        <v>19</v>
      </c>
      <c r="D7" s="4" t="str">
        <f>HYPERLINK("https://github.com/google/maxtext/blob/main/docs/guides/checkpointing_solutions/emergency_checkpointing.md", "emergency_checkpointing.md")</f>
        <v>emergency_checkpointing.md</v>
      </c>
      <c r="E7" s="3" t="s">
        <v>22</v>
      </c>
    </row>
    <row r="8" ht="22.5" customHeight="1">
      <c r="A8" s="3" t="s">
        <v>23</v>
      </c>
      <c r="B8" s="3" t="s">
        <v>6</v>
      </c>
      <c r="C8" s="3" t="s">
        <v>19</v>
      </c>
      <c r="D8" s="4" t="str">
        <f>HYPERLINK("https://github.com/google/maxtext/blob/main/docs/guides/checkpointing_solutions/multi_tier_checkpointing.md", "multi_tier_checkpointing.md")</f>
        <v>multi_tier_checkpointing.md</v>
      </c>
      <c r="E8" s="3" t="s">
        <v>24</v>
      </c>
    </row>
    <row r="9" ht="22.5" customHeight="1">
      <c r="A9" s="3" t="s">
        <v>25</v>
      </c>
      <c r="B9" s="3" t="s">
        <v>6</v>
      </c>
      <c r="C9" s="3" t="s">
        <v>26</v>
      </c>
      <c r="D9" s="4" t="str">
        <f>HYPERLINK("https://github.com/google/maxtext/blob/main/docs/guides/data_input_pipeline/data_input_megatron_mmap.md", "data_input_megatron_mmap.md")</f>
        <v>data_input_megatron_mmap.md</v>
      </c>
      <c r="E9" s="3" t="s">
        <v>27</v>
      </c>
    </row>
    <row r="10" ht="22.5" customHeight="1">
      <c r="A10" s="3" t="s">
        <v>28</v>
      </c>
      <c r="B10" s="3" t="s">
        <v>6</v>
      </c>
      <c r="C10" s="3" t="s">
        <v>26</v>
      </c>
      <c r="D10" s="4" t="str">
        <f>HYPERLINK("https://github.com/google/maxtext/blob/main/docs/guides/data_input_pipeline/olmo_grain.md", "olmo_grain.md")</f>
        <v>olmo_grain.md</v>
      </c>
      <c r="E10" s="3" t="s">
        <v>29</v>
      </c>
    </row>
    <row r="11" ht="22.5" customHeight="1">
      <c r="A11" s="3" t="s">
        <v>30</v>
      </c>
      <c r="B11" s="3" t="s">
        <v>6</v>
      </c>
      <c r="C11" s="3" t="s">
        <v>31</v>
      </c>
      <c r="D11" s="4" t="str">
        <f>HYPERLINK("https://github.com/google/maxtext/blob/main/docs/guides/lora_model_bringup.md", "lora_model_bringup.md")</f>
        <v>lora_model_bringup.md</v>
      </c>
      <c r="E11" s="3" t="s">
        <v>32</v>
      </c>
    </row>
    <row r="12" ht="22.5" customHeight="1">
      <c r="A12" s="3" t="s">
        <v>33</v>
      </c>
      <c r="B12" s="3" t="s">
        <v>6</v>
      </c>
      <c r="C12" s="3" t="s">
        <v>34</v>
      </c>
      <c r="D12" s="4" t="str">
        <f>HYPERLINK("https://github.com/google/maxtext/blob/main/docs/guides/monitoring_and_debugging/features_and_diagnostics.md", "features_and_diagnostics.md")</f>
        <v>features_and_diagnostics.md</v>
      </c>
      <c r="E12" s="3" t="s">
        <v>35</v>
      </c>
    </row>
    <row r="13" ht="22.5" customHeight="1">
      <c r="A13" s="3" t="s">
        <v>36</v>
      </c>
      <c r="B13" s="3" t="s">
        <v>6</v>
      </c>
      <c r="C13" s="3" t="s">
        <v>34</v>
      </c>
      <c r="D13" s="4" t="str">
        <f>HYPERLINK("https://github.com/google/maxtext/blob/main/docs/guides/monitoring_and_debugging/ml_workload_diagnostics.md", "ml_workload_diagnostics.md")</f>
        <v>ml_workload_diagnostics.md</v>
      </c>
      <c r="E13" s="3" t="s">
        <v>37</v>
      </c>
    </row>
    <row r="14" ht="22.5" customHeight="1">
      <c r="A14" s="3" t="s">
        <v>38</v>
      </c>
      <c r="B14" s="3" t="s">
        <v>6</v>
      </c>
      <c r="C14" s="3" t="s">
        <v>34</v>
      </c>
      <c r="D14" s="4" t="str">
        <f>HYPERLINK("https://github.com/google/maxtext/blob/main/docs/guides/monitoring_and_debugging/monitor_goodput.md", "monitor_goodput.md")</f>
        <v>monitor_goodput.md</v>
      </c>
      <c r="E14" s="3" t="s">
        <v>39</v>
      </c>
    </row>
    <row r="15" ht="22.5" customHeight="1">
      <c r="A15" s="3" t="s">
        <v>40</v>
      </c>
      <c r="B15" s="3" t="s">
        <v>6</v>
      </c>
      <c r="C15" s="3" t="s">
        <v>34</v>
      </c>
      <c r="D15" s="4" t="str">
        <f>HYPERLINK("https://github.com/google/maxtext/blob/main/docs/guides/monitoring_and_debugging/understand_logs_and_metrics.md", "understand_logs_and_metrics.md")</f>
        <v>understand_logs_and_metrics.md</v>
      </c>
      <c r="E15" s="3" t="s">
        <v>41</v>
      </c>
    </row>
    <row r="16" ht="22.5" customHeight="1">
      <c r="A16" s="3" t="s">
        <v>42</v>
      </c>
      <c r="B16" s="3" t="s">
        <v>6</v>
      </c>
      <c r="C16" s="3" t="s">
        <v>43</v>
      </c>
      <c r="D16" s="4" t="str">
        <f>HYPERLINK("https://github.com/google/maxtext/blob/main/docs/guides/optimization/benchmark_and_performance.md", "benchmark_and_performance.md")</f>
        <v>benchmark_and_performance.md</v>
      </c>
      <c r="E16" s="3" t="s">
        <v>44</v>
      </c>
    </row>
    <row r="17" ht="22.5" customHeight="1">
      <c r="A17" s="5" t="s">
        <v>45</v>
      </c>
      <c r="B17" s="5" t="s">
        <v>46</v>
      </c>
      <c r="C17" s="5" t="s">
        <v>31</v>
      </c>
      <c r="D17" s="6" t="str">
        <f>HYPERLINK("https://github.com/google/maxtext/blob/main/docs/guides/run_python_notebook.md", "run_python_notebook.md")</f>
        <v>run_python_notebook.md</v>
      </c>
      <c r="E17" s="5" t="s">
        <v>47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22.5" customHeight="1">
      <c r="A18" s="3" t="s">
        <v>48</v>
      </c>
      <c r="B18" s="3" t="s">
        <v>6</v>
      </c>
      <c r="C18" s="3" t="s">
        <v>49</v>
      </c>
      <c r="D18" s="4" t="str">
        <f>HYPERLINK("https://github.com/google/maxtext/blob/main/docs/install_maxtext.md", "install_maxtext.md")</f>
        <v>install_maxtext.md</v>
      </c>
      <c r="E18" s="3" t="s">
        <v>50</v>
      </c>
    </row>
    <row r="19" ht="22.5" customHeight="1">
      <c r="A19" s="3" t="s">
        <v>51</v>
      </c>
      <c r="B19" s="3" t="s">
        <v>6</v>
      </c>
      <c r="C19" s="3" t="s">
        <v>52</v>
      </c>
      <c r="D19" s="4" t="str">
        <f>HYPERLINK("https://github.com/google/maxtext/blob/main/docs/run_maxtext/decoupled_mode.md", "decoupled_mode.md")</f>
        <v>decoupled_mode.md</v>
      </c>
      <c r="E19" s="3" t="s">
        <v>53</v>
      </c>
    </row>
    <row r="20" ht="22.5" customHeight="1">
      <c r="A20" s="5" t="s">
        <v>54</v>
      </c>
      <c r="B20" s="5" t="s">
        <v>46</v>
      </c>
      <c r="C20" s="5" t="s">
        <v>52</v>
      </c>
      <c r="D20" s="6" t="str">
        <f>HYPERLINK("https://github.com/google/maxtext/blob/main/docs/run_maxtext/run_maxtext_elastic_training.md", "run_maxtext_elastic_training.md")</f>
        <v>run_maxtext_elastic_training.md</v>
      </c>
      <c r="E20" s="5" t="s">
        <v>55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22.5" customHeight="1">
      <c r="A21" s="5" t="s">
        <v>56</v>
      </c>
      <c r="B21" s="5" t="s">
        <v>46</v>
      </c>
      <c r="C21" s="5" t="s">
        <v>52</v>
      </c>
      <c r="D21" s="6" t="str">
        <f>HYPERLINK("https://github.com/google/maxtext/blob/main/docs/run_maxtext/run_maxtext_localhost.md", "run_maxtext_localhost.md")</f>
        <v>run_maxtext_localhost.md</v>
      </c>
      <c r="E21" s="5" t="s">
        <v>57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22.5" customHeight="1">
      <c r="A22" s="5" t="s">
        <v>58</v>
      </c>
      <c r="B22" s="5" t="s">
        <v>46</v>
      </c>
      <c r="C22" s="5" t="s">
        <v>52</v>
      </c>
      <c r="D22" s="6" t="str">
        <f>HYPERLINK("https://github.com/google/maxtext/blob/main/docs/run_maxtext/run_maxtext_single_host_gpu.md", "run_maxtext_single_host_gpu.md")</f>
        <v>run_maxtext_single_host_gpu.md</v>
      </c>
      <c r="E22" s="5" t="s">
        <v>59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22.5" customHeight="1">
      <c r="A23" s="5" t="s">
        <v>60</v>
      </c>
      <c r="B23" s="5" t="s">
        <v>46</v>
      </c>
      <c r="C23" s="5" t="s">
        <v>52</v>
      </c>
      <c r="D23" s="6" t="str">
        <f>HYPERLINK("https://github.com/google/maxtext/blob/main/docs/run_maxtext/run_maxtext_via_cluster_toolkit.md", "run_maxtext_via_cluster_toolkit.md")</f>
        <v>run_maxtext_via_cluster_toolkit.md</v>
      </c>
      <c r="E23" s="5" t="s">
        <v>61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22.5" customHeight="1">
      <c r="A24" s="5" t="s">
        <v>62</v>
      </c>
      <c r="B24" s="5" t="s">
        <v>6</v>
      </c>
      <c r="C24" s="5" t="s">
        <v>52</v>
      </c>
      <c r="D24" s="6" t="str">
        <f>HYPERLINK("https://github.com/google/maxtext/blob/main/docs/run_maxtext/run_maxtext_via_multihost_job.md", "run_maxtext_via_multihost_job.md")</f>
        <v>run_maxtext_via_multihost_job.md</v>
      </c>
      <c r="E24" s="5" t="s">
        <v>63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22.5" customHeight="1">
      <c r="A25" s="3" t="s">
        <v>64</v>
      </c>
      <c r="B25" s="3" t="s">
        <v>6</v>
      </c>
      <c r="C25" s="3" t="s">
        <v>52</v>
      </c>
      <c r="D25" s="4" t="str">
        <f>HYPERLINK("https://github.com/google/maxtext/blob/main/docs/run_maxtext/run_maxtext_via_multihost_runner.md", "run_maxtext_via_multihost_runner.md")</f>
        <v>run_maxtext_via_multihost_runner.md</v>
      </c>
      <c r="E25" s="3" t="s">
        <v>65</v>
      </c>
    </row>
    <row r="26" ht="22.5" customHeight="1">
      <c r="A26" s="5" t="s">
        <v>66</v>
      </c>
      <c r="B26" s="5" t="s">
        <v>46</v>
      </c>
      <c r="C26" s="5" t="s">
        <v>52</v>
      </c>
      <c r="D26" s="6" t="str">
        <f>HYPERLINK("https://github.com/google/maxtext/blob/main/docs/run_maxtext/run_maxtext_via_pathways.md", "run_maxtext_via_pathways.md")</f>
        <v>run_maxtext_via_pathways.md</v>
      </c>
      <c r="E26" s="5" t="s">
        <v>67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22.5" customHeight="1">
      <c r="A27" s="5" t="s">
        <v>68</v>
      </c>
      <c r="B27" s="5" t="s">
        <v>46</v>
      </c>
      <c r="C27" s="5" t="s">
        <v>52</v>
      </c>
      <c r="D27" s="6" t="str">
        <f>HYPERLINK("https://github.com/google/maxtext/blob/main/docs/run_maxtext/run_maxtext_via_xpk.md", "run_maxtext_via_xpk.md")</f>
        <v>run_maxtext_via_xpk.md</v>
      </c>
      <c r="E27" s="5" t="s">
        <v>69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22.5" customHeight="1">
      <c r="A28" s="3" t="s">
        <v>70</v>
      </c>
      <c r="B28" s="3" t="s">
        <v>6</v>
      </c>
      <c r="C28" s="3" t="s">
        <v>71</v>
      </c>
      <c r="D28" s="4" t="str">
        <f>HYPERLINK("https://github.com/google/maxtext/blob/main/docs/tutorials/build_maxtext.md", "build_maxtext.md")</f>
        <v>build_maxtext.md</v>
      </c>
      <c r="E28" s="3" t="s">
        <v>72</v>
      </c>
    </row>
    <row r="29" ht="22.5" customHeight="1">
      <c r="A29" s="5" t="s">
        <v>73</v>
      </c>
      <c r="B29" s="5" t="s">
        <v>46</v>
      </c>
      <c r="C29" s="5" t="s">
        <v>71</v>
      </c>
      <c r="D29" s="6" t="str">
        <f>HYPERLINK("https://github.com/google/maxtext/blob/main/docs/tutorials/inference.md", "inference.md")</f>
        <v>inference.md</v>
      </c>
      <c r="E29" s="5" t="s">
        <v>74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22.5" customHeight="1">
      <c r="A30" s="5" t="s">
        <v>75</v>
      </c>
      <c r="B30" s="5" t="s">
        <v>46</v>
      </c>
      <c r="C30" s="5" t="s">
        <v>76</v>
      </c>
      <c r="D30" s="6" t="str">
        <f>HYPERLINK("https://github.com/google/maxtext/blob/main/docs/tutorials/posttraining/dpo.md", "dpo.md")</f>
        <v>dpo.md</v>
      </c>
      <c r="E30" s="5" t="s">
        <v>77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22.5" customHeight="1">
      <c r="A31" s="5" t="s">
        <v>78</v>
      </c>
      <c r="B31" s="5" t="s">
        <v>46</v>
      </c>
      <c r="C31" s="5" t="s">
        <v>76</v>
      </c>
      <c r="D31" s="6" t="str">
        <f>HYPERLINK("https://github.com/google/maxtext/blob/main/docs/tutorials/posttraining/full_finetuning.md", "full_finetuning.md")</f>
        <v>full_finetuning.md</v>
      </c>
      <c r="E31" s="5" t="s">
        <v>79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22.5" customHeight="1">
      <c r="A32" s="5" t="s">
        <v>80</v>
      </c>
      <c r="B32" s="5" t="s">
        <v>46</v>
      </c>
      <c r="C32" s="5" t="s">
        <v>76</v>
      </c>
      <c r="D32" s="6" t="str">
        <f>HYPERLINK("https://github.com/google/maxtext/blob/main/docs/tutorials/posttraining/knowledge_distillation.md", "knowledge_distillation.md")</f>
        <v>knowledge_distillation.md</v>
      </c>
      <c r="E32" s="5" t="s">
        <v>81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22.5" customHeight="1">
      <c r="A33" s="5" t="s">
        <v>82</v>
      </c>
      <c r="B33" s="5" t="s">
        <v>46</v>
      </c>
      <c r="C33" s="5" t="s">
        <v>76</v>
      </c>
      <c r="D33" s="6" t="str">
        <f>HYPERLINK("https://github.com/google/maxtext/blob/main/docs/tutorials/posttraining/lora.md", "lora.md")</f>
        <v>lora.md</v>
      </c>
      <c r="E33" s="5" t="s">
        <v>83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22.5" customHeight="1">
      <c r="A34" s="5" t="s">
        <v>84</v>
      </c>
      <c r="B34" s="5" t="s">
        <v>46</v>
      </c>
      <c r="C34" s="5" t="s">
        <v>76</v>
      </c>
      <c r="D34" s="6" t="str">
        <f>HYPERLINK("https://github.com/google/maxtext/blob/main/docs/tutorials/posttraining/lora_on_multi_host.md", "lora_on_multi_host.md")</f>
        <v>lora_on_multi_host.md</v>
      </c>
      <c r="E34" s="5" t="s">
        <v>85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22.5" customHeight="1">
      <c r="A35" s="5" t="s">
        <v>86</v>
      </c>
      <c r="B35" s="5" t="s">
        <v>46</v>
      </c>
      <c r="C35" s="5" t="s">
        <v>76</v>
      </c>
      <c r="D35" s="6" t="str">
        <f>HYPERLINK("https://github.com/google/maxtext/blob/main/docs/tutorials/posttraining/multimodal.md", "multimodal.md")</f>
        <v>multimodal.md</v>
      </c>
      <c r="E35" s="5" t="s">
        <v>87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22.5" customHeight="1">
      <c r="A36" s="5" t="s">
        <v>88</v>
      </c>
      <c r="B36" s="5" t="s">
        <v>46</v>
      </c>
      <c r="C36" s="5" t="s">
        <v>76</v>
      </c>
      <c r="D36" s="6" t="str">
        <f>HYPERLINK("https://github.com/google/maxtext/blob/main/docs/tutorials/posttraining/native_lora.md", "native_lora.md")</f>
        <v>native_lora.md</v>
      </c>
      <c r="E36" s="5" t="s">
        <v>89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22.5" customHeight="1">
      <c r="A37" s="5" t="s">
        <v>90</v>
      </c>
      <c r="B37" s="5" t="s">
        <v>46</v>
      </c>
      <c r="C37" s="5" t="s">
        <v>76</v>
      </c>
      <c r="D37" s="6" t="str">
        <f>HYPERLINK("https://github.com/google/maxtext/blob/main/docs/tutorials/posttraining/rl.md", "rl.md")</f>
        <v>rl.md</v>
      </c>
      <c r="E37" s="5" t="s">
        <v>91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22.5" customHeight="1">
      <c r="A38" s="5" t="s">
        <v>92</v>
      </c>
      <c r="B38" s="5" t="s">
        <v>46</v>
      </c>
      <c r="C38" s="5" t="s">
        <v>76</v>
      </c>
      <c r="D38" s="6" t="str">
        <f>HYPERLINK("https://github.com/google/maxtext/blob/main/docs/tutorials/posttraining/rl_gemma4_26b.md", "rl_gemma4_26b.md")</f>
        <v>rl_gemma4_26b.md</v>
      </c>
      <c r="E38" s="5" t="s">
        <v>93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22.5" customHeight="1">
      <c r="A39" s="5" t="s">
        <v>94</v>
      </c>
      <c r="B39" s="5" t="s">
        <v>46</v>
      </c>
      <c r="C39" s="5" t="s">
        <v>76</v>
      </c>
      <c r="D39" s="6" t="str">
        <f>HYPERLINK("https://github.com/google/maxtext/blob/main/docs/tutorials/posttraining/rl_gemma4_e4b.md", "rl_gemma4_e4b.md")</f>
        <v>rl_gemma4_e4b.md</v>
      </c>
      <c r="E39" s="5" t="s">
        <v>95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22.5" customHeight="1">
      <c r="A40" s="5" t="s">
        <v>96</v>
      </c>
      <c r="B40" s="5" t="s">
        <v>46</v>
      </c>
      <c r="C40" s="5" t="s">
        <v>76</v>
      </c>
      <c r="D40" s="6" t="str">
        <f>HYPERLINK("https://github.com/google/maxtext/blob/main/docs/tutorials/posttraining/rl_gptoss_20b.md", "rl_gptoss_20b.md")</f>
        <v>rl_gptoss_20b.md</v>
      </c>
      <c r="E40" s="5" t="s">
        <v>97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22.5" customHeight="1">
      <c r="A41" s="5" t="s">
        <v>98</v>
      </c>
      <c r="B41" s="5" t="s">
        <v>46</v>
      </c>
      <c r="C41" s="5" t="s">
        <v>76</v>
      </c>
      <c r="D41" s="6" t="str">
        <f>HYPERLINK("https://github.com/google/maxtext/blob/main/docs/tutorials/posttraining/rl_on_multi_host.md", "rl_on_multi_host.md")</f>
        <v>rl_on_multi_host.md</v>
      </c>
      <c r="E41" s="5" t="s">
        <v>99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22.5" customHeight="1">
      <c r="A42" s="5" t="s">
        <v>100</v>
      </c>
      <c r="B42" s="5" t="s">
        <v>46</v>
      </c>
      <c r="C42" s="5" t="s">
        <v>76</v>
      </c>
      <c r="D42" s="6" t="str">
        <f>HYPERLINK("https://github.com/google/maxtext/blob/main/docs/tutorials/posttraining/rl_qwen3_30b.md", "rl_qwen3_30b.md")</f>
        <v>rl_qwen3_30b.md</v>
      </c>
      <c r="E42" s="5" t="s">
        <v>101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22.5" customHeight="1">
      <c r="A43" s="5" t="s">
        <v>102</v>
      </c>
      <c r="B43" s="5" t="s">
        <v>46</v>
      </c>
      <c r="C43" s="5" t="s">
        <v>76</v>
      </c>
      <c r="D43" s="6" t="str">
        <f>HYPERLINK("https://github.com/google/maxtext/blob/main/docs/tutorials/posttraining/sft.md", "sft.md")</f>
        <v>sft.md</v>
      </c>
      <c r="E43" s="5" t="s">
        <v>103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22.5" customHeight="1">
      <c r="A44" s="5" t="s">
        <v>104</v>
      </c>
      <c r="B44" s="5" t="s">
        <v>46</v>
      </c>
      <c r="C44" s="5" t="s">
        <v>76</v>
      </c>
      <c r="D44" s="6" t="str">
        <f>HYPERLINK("https://github.com/google/maxtext/blob/main/docs/tutorials/posttraining/sft_on_multi_host.md", "sft_on_multi_host.md")</f>
        <v>sft_on_multi_host.md</v>
      </c>
      <c r="E44" s="5" t="s">
        <v>105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22.5" customHeight="1">
      <c r="A45" s="3" t="s">
        <v>106</v>
      </c>
      <c r="B45" s="3" t="s">
        <v>6</v>
      </c>
      <c r="C45" s="3" t="s">
        <v>71</v>
      </c>
      <c r="D45" s="4" t="str">
        <f>HYPERLINK("https://github.com/google/maxtext/blob/main/docs/tutorials/pretraining.md", "pretraining.md")</f>
        <v>pretraining.md</v>
      </c>
      <c r="E45" s="3" t="s">
        <v>107</v>
      </c>
    </row>
    <row r="46" ht="22.5" customHeight="1">
      <c r="A46" s="3" t="s">
        <v>108</v>
      </c>
      <c r="B46" s="3" t="s">
        <v>6</v>
      </c>
      <c r="C46" s="3" t="s">
        <v>109</v>
      </c>
      <c r="D46" s="4" t="str">
        <f>HYPERLINK("https://github.com/google/maxtext/blob/main/src/maxtext/configs/README.md", "README.md")</f>
        <v>README.md</v>
      </c>
      <c r="E46" s="3" t="s">
        <v>110</v>
      </c>
    </row>
    <row r="47" ht="22.5" customHeight="1">
      <c r="A47" s="3" t="s">
        <v>111</v>
      </c>
      <c r="B47" s="3" t="s">
        <v>6</v>
      </c>
      <c r="C47" s="3" t="s">
        <v>112</v>
      </c>
      <c r="D47" s="4" t="str">
        <f>HYPERLINK("https://github.com/google/maxtext/blob/main/src/maxtext/eval/README.md", "README.md")</f>
        <v>README.md</v>
      </c>
      <c r="E47" s="3" t="s">
        <v>113</v>
      </c>
    </row>
    <row r="48" ht="22.5" customHeight="1">
      <c r="A48" s="3" t="s">
        <v>114</v>
      </c>
      <c r="B48" s="3" t="s">
        <v>6</v>
      </c>
      <c r="C48" s="3" t="s">
        <v>115</v>
      </c>
      <c r="D48" s="4" t="str">
        <f>HYPERLINK("https://github.com/google/maxtext/blob/main/src/maxtext/experimental/agent/ckpt_conversion_agent/README.md", "README.md")</f>
        <v>README.md</v>
      </c>
      <c r="E48" s="3" t="s">
        <v>116</v>
      </c>
    </row>
    <row r="49" ht="22.5" customHeight="1">
      <c r="A49" s="3" t="s">
        <v>117</v>
      </c>
      <c r="B49" s="3" t="s">
        <v>6</v>
      </c>
      <c r="C49" s="3" t="s">
        <v>118</v>
      </c>
      <c r="D49" s="4" t="str">
        <f>HYPERLINK("https://github.com/google/maxtext/blob/main/src/maxtext/experimental/omni_pipeline/README.md", "README.md")</f>
        <v>README.md</v>
      </c>
      <c r="E49" s="3" t="s">
        <v>119</v>
      </c>
    </row>
    <row r="50" ht="22.5" customHeight="1">
      <c r="A50" s="3" t="s">
        <v>120</v>
      </c>
      <c r="B50" s="3" t="s">
        <v>6</v>
      </c>
      <c r="C50" s="3" t="s">
        <v>121</v>
      </c>
      <c r="D50" s="4" t="str">
        <f>HYPERLINK("https://github.com/google/maxtext/blob/main/src/maxtext/experimental/rl/README.md", "README.md")</f>
        <v>README.md</v>
      </c>
      <c r="E50" s="3" t="s">
        <v>122</v>
      </c>
    </row>
    <row r="51" ht="22.5" customHeight="1">
      <c r="A51" s="3" t="s">
        <v>123</v>
      </c>
      <c r="B51" s="3" t="s">
        <v>6</v>
      </c>
      <c r="C51" s="3" t="s">
        <v>124</v>
      </c>
      <c r="D51" s="4" t="str">
        <f>HYPERLINK("https://github.com/google/maxtext/blob/main/src/maxtext/inference/jetstream_pathways/README.md", "README.md")</f>
        <v>README.md</v>
      </c>
      <c r="E51" s="3" t="s">
        <v>125</v>
      </c>
    </row>
    <row r="52" ht="22.5" customHeight="1">
      <c r="A52" s="3" t="s">
        <v>126</v>
      </c>
      <c r="B52" s="3" t="s">
        <v>6</v>
      </c>
      <c r="C52" s="3" t="s">
        <v>127</v>
      </c>
      <c r="D52" s="4" t="str">
        <f>HYPERLINK("https://github.com/google/maxtext/blob/main/src/maxtext/inference/maxengine/maxengine_server_deployment/README.md", "README.md")</f>
        <v>README.md</v>
      </c>
      <c r="E52" s="3" t="s">
        <v>128</v>
      </c>
    </row>
    <row r="53" ht="22.5" customHeight="1">
      <c r="A53" s="3" t="s">
        <v>129</v>
      </c>
      <c r="B53" s="3" t="s">
        <v>6</v>
      </c>
      <c r="C53" s="3" t="s">
        <v>130</v>
      </c>
      <c r="D53" s="4" t="str">
        <f>HYPERLINK("https://github.com/google/maxtext/blob/main/src/maxtext/inference/mlperf/README.md", "README.md")</f>
        <v>README.md</v>
      </c>
      <c r="E53" s="3" t="s">
        <v>131</v>
      </c>
    </row>
    <row r="54" ht="22.5" customHeight="1">
      <c r="A54" s="3" t="s">
        <v>132</v>
      </c>
      <c r="B54" s="3" t="s">
        <v>6</v>
      </c>
      <c r="C54" s="3" t="s">
        <v>133</v>
      </c>
      <c r="D54" s="4" t="str">
        <f>HYPERLINK("https://github.com/google/maxtext/blob/main/src/maxtext/trainers/post_train/distillation/README.md", "README.md")</f>
        <v>README.md</v>
      </c>
      <c r="E54" s="3" t="s">
        <v>134</v>
      </c>
    </row>
    <row r="55" ht="22.5" customHeight="1">
      <c r="A55" s="3" t="s">
        <v>135</v>
      </c>
      <c r="B55" s="3" t="s">
        <v>6</v>
      </c>
      <c r="C55" s="3" t="s">
        <v>136</v>
      </c>
      <c r="D55" s="4" t="str">
        <f>HYPERLINK("https://github.com/google/maxtext/blob/main/src/maxtext/trainers/pre_train/scripts/olmo/README.md", "README.md")</f>
        <v>README.md</v>
      </c>
      <c r="E55" s="3" t="s">
        <v>137</v>
      </c>
    </row>
    <row r="56" ht="22.5" customHeight="1">
      <c r="A56" s="3" t="s">
        <v>138</v>
      </c>
      <c r="B56" s="3" t="s">
        <v>6</v>
      </c>
      <c r="C56" s="3" t="s">
        <v>139</v>
      </c>
      <c r="D56" s="4" t="str">
        <f>HYPERLINK("https://github.com/google/maxtext/blob/main/tests/end_to_end/gpu/te/README.md", "README.md")</f>
        <v>README.md</v>
      </c>
      <c r="E56" s="3" t="s">
        <v>140</v>
      </c>
    </row>
    <row r="57" ht="22.5" customHeight="1">
      <c r="A57" s="5" t="s">
        <v>141</v>
      </c>
      <c r="B57" s="5" t="s">
        <v>46</v>
      </c>
      <c r="C57" s="5" t="s">
        <v>142</v>
      </c>
      <c r="D57" s="6" t="str">
        <f>HYPERLINK("https://github.com/google/maxtext/blob/main/tests/end_to_end/tpu/deepseek/Run_DeepSeek.md", "Run_DeepSeek.md")</f>
        <v>Run_DeepSeek.md</v>
      </c>
      <c r="E57" s="5" t="s">
        <v>143</v>
      </c>
    </row>
    <row r="58" ht="22.5" customHeight="1">
      <c r="A58" s="5" t="s">
        <v>144</v>
      </c>
      <c r="B58" s="5" t="s">
        <v>46</v>
      </c>
      <c r="C58" s="5" t="s">
        <v>145</v>
      </c>
      <c r="D58" s="6" t="str">
        <f>HYPERLINK("https://github.com/google/maxtext/blob/main/tests/end_to_end/tpu/gemma3/Run_Gemma3.md", "Run_Gemma3.md")</f>
        <v>Run_Gemma3.md</v>
      </c>
      <c r="E58" s="5" t="s">
        <v>146</v>
      </c>
    </row>
    <row r="59" ht="22.5" customHeight="1">
      <c r="A59" s="5" t="s">
        <v>147</v>
      </c>
      <c r="B59" s="5" t="s">
        <v>46</v>
      </c>
      <c r="C59" s="5" t="s">
        <v>148</v>
      </c>
      <c r="D59" s="6" t="str">
        <f>HYPERLINK("https://github.com/google/maxtext/blob/main/tests/end_to_end/tpu/gemma4/Run_Gemma4.md", "Run_Gemma4.md")</f>
        <v>Run_Gemma4.md</v>
      </c>
      <c r="E59" s="5" t="s">
        <v>146</v>
      </c>
    </row>
    <row r="60" ht="22.5" customHeight="1">
      <c r="A60" s="5" t="s">
        <v>149</v>
      </c>
      <c r="B60" s="5" t="s">
        <v>46</v>
      </c>
      <c r="C60" s="5" t="s">
        <v>150</v>
      </c>
      <c r="D60" s="6" t="str">
        <f>HYPERLINK("https://github.com/google/maxtext/blob/main/tests/end_to_end/tpu/gpt_oss/run_gpt_oss.md", "run_gpt_oss.md")</f>
        <v>run_gpt_oss.md</v>
      </c>
      <c r="E60" s="5" t="s">
        <v>143</v>
      </c>
    </row>
    <row r="61" ht="22.5" customHeight="1">
      <c r="A61" s="5" t="s">
        <v>151</v>
      </c>
      <c r="B61" s="5" t="s">
        <v>46</v>
      </c>
      <c r="C61" s="5" t="s">
        <v>152</v>
      </c>
      <c r="D61" s="6" t="str">
        <f>HYPERLINK("https://github.com/google/maxtext/blob/main/tests/end_to_end/tpu/kimi/Run_Kimi.md", "Run_Kimi.md")</f>
        <v>Run_Kimi.md</v>
      </c>
      <c r="E61" s="5" t="s">
        <v>153</v>
      </c>
    </row>
    <row r="62" ht="22.5" customHeight="1">
      <c r="A62" s="5" t="s">
        <v>154</v>
      </c>
      <c r="B62" s="5" t="s">
        <v>46</v>
      </c>
      <c r="C62" s="5" t="s">
        <v>155</v>
      </c>
      <c r="D62" s="6" t="str">
        <f>HYPERLINK("https://github.com/google/maxtext/blob/main/tests/end_to_end/tpu/llama4/Run_Llama4.md", "Run_Llama4.md")</f>
        <v>Run_Llama4.md</v>
      </c>
      <c r="E62" s="5" t="s">
        <v>143</v>
      </c>
    </row>
    <row r="63" ht="22.5" customHeight="1">
      <c r="A63" s="5" t="s">
        <v>156</v>
      </c>
      <c r="B63" s="5" t="s">
        <v>6</v>
      </c>
      <c r="C63" s="5" t="s">
        <v>157</v>
      </c>
      <c r="D63" s="6" t="str">
        <f>HYPERLINK("https://github.com/google/maxtext/blob/main/tests/end_to_end/tpu/qwen/dense/run_qwen2.5_dense.md", "run_qwen2.5_dense.md")</f>
        <v>run_qwen2.5_dense.md</v>
      </c>
      <c r="E63" s="5" t="s">
        <v>143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22.5" customHeight="1">
      <c r="A64" s="5" t="s">
        <v>158</v>
      </c>
      <c r="B64" s="5" t="s">
        <v>46</v>
      </c>
      <c r="C64" s="5" t="s">
        <v>159</v>
      </c>
      <c r="D64" s="6" t="str">
        <f>HYPERLINK("https://github.com/google/maxtext/blob/main/tests/end_to_end/tpu/qwen/moe/run_qwen_moe.md", "run_qwen_moe.md")</f>
        <v>run_qwen_moe.md</v>
      </c>
      <c r="E64" s="5" t="s">
        <v>143</v>
      </c>
    </row>
    <row r="65" ht="22.5" customHeight="1">
      <c r="A65" s="5" t="s">
        <v>160</v>
      </c>
      <c r="B65" s="5" t="s">
        <v>46</v>
      </c>
      <c r="C65" s="5" t="s">
        <v>161</v>
      </c>
      <c r="D65" s="6" t="str">
        <f>HYPERLINK("https://github.com/google/maxtext/blob/main/tests/end_to_end/tpu/qwen/next/run_qwen3_next.md", "run_qwen3_next.md")</f>
        <v>run_qwen3_next.md</v>
      </c>
      <c r="E65" s="5" t="s">
        <v>143</v>
      </c>
    </row>
  </sheetData>
  <drawing r:id="rId1"/>
  <tableParts count="1">
    <tablePart r:id="rId3"/>
  </tableParts>
</worksheet>
</file>